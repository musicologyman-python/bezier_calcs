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hard/Repos/bezier_calcs/"/>
    </mc:Choice>
  </mc:AlternateContent>
  <xr:revisionPtr revIDLastSave="0" documentId="13_ncr:40009_{1C38A142-2576-194E-864B-8C835C1F0577}" xr6:coauthVersionLast="47" xr6:coauthVersionMax="47" xr10:uidLastSave="{00000000-0000-0000-0000-000000000000}"/>
  <bookViews>
    <workbookView xWindow="2780" yWindow="500" windowWidth="23040" windowHeight="15520" activeTab="2"/>
  </bookViews>
  <sheets>
    <sheet name="whole_note_path" sheetId="1" r:id="rId1"/>
    <sheet name="Sheet1" sheetId="2" r:id="rId2"/>
    <sheet name="Sheet2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3" l="1" a="1"/>
  <c r="A16" i="3" s="1"/>
  <c r="A20" i="3" a="1"/>
  <c r="A20" i="3" s="1"/>
  <c r="A24" i="3" a="1"/>
  <c r="A24" i="3" s="1"/>
  <c r="B28" i="3"/>
  <c r="A28" i="3"/>
  <c r="A32" i="3" a="1"/>
  <c r="A32" i="3" s="1"/>
  <c r="C32" i="3" a="1"/>
  <c r="C32" i="3" s="1"/>
  <c r="G31" i="3" a="1"/>
  <c r="G31" i="3" s="1"/>
  <c r="E31" i="3" a="1"/>
  <c r="E31" i="3" s="1"/>
  <c r="C31" i="3" a="1"/>
  <c r="C31" i="3" s="1"/>
  <c r="A30" i="3" a="1"/>
  <c r="A30" i="3" s="1"/>
  <c r="C28" i="3" a="1"/>
  <c r="C28" i="3" s="1"/>
  <c r="G27" i="3" a="1"/>
  <c r="G27" i="3" s="1"/>
  <c r="E27" i="3" a="1"/>
  <c r="E27" i="3" s="1"/>
  <c r="C27" i="3" a="1"/>
  <c r="C27" i="3" s="1"/>
  <c r="A26" i="3" a="1"/>
  <c r="A26" i="3" s="1"/>
  <c r="G23" i="3" a="1"/>
  <c r="G23" i="3" s="1"/>
  <c r="E23" i="3" a="1"/>
  <c r="E23" i="3" s="1"/>
  <c r="C23" i="3" a="1"/>
  <c r="C23" i="3" s="1"/>
  <c r="C24" i="3" s="1" a="1"/>
  <c r="C24" i="3" s="1"/>
  <c r="A22" i="3" a="1"/>
  <c r="A22" i="3" s="1"/>
  <c r="G19" i="3" a="1"/>
  <c r="G19" i="3" s="1"/>
  <c r="E19" i="3" a="1"/>
  <c r="E19" i="3" s="1"/>
  <c r="C19" i="3" a="1"/>
  <c r="C19" i="3" s="1"/>
  <c r="C20" i="3" s="1" a="1"/>
  <c r="C20" i="3" s="1"/>
  <c r="G16" i="3" a="1"/>
  <c r="G16" i="3" s="1"/>
  <c r="A18" i="3" s="1" a="1"/>
  <c r="A18" i="3" s="1"/>
  <c r="G13" i="3" a="1"/>
  <c r="G13" i="3" s="1"/>
  <c r="A15" i="3" s="1" a="1"/>
  <c r="A15" i="3" s="1"/>
  <c r="E16" i="3" s="1" a="1"/>
  <c r="E16" i="3" s="1"/>
  <c r="D13" i="3"/>
  <c r="F13" i="3"/>
  <c r="E13" i="3"/>
  <c r="C13" i="3"/>
  <c r="B7" i="3"/>
  <c r="C7" i="3"/>
  <c r="D7" i="3"/>
  <c r="E7" i="3"/>
  <c r="F7" i="3"/>
  <c r="A7" i="3"/>
  <c r="B3" i="3"/>
  <c r="C3" i="3"/>
  <c r="D3" i="3"/>
  <c r="E3" i="3"/>
  <c r="F3" i="3"/>
  <c r="A3" i="3"/>
  <c r="C3" i="2"/>
  <c r="B3" i="2"/>
  <c r="E31" i="2"/>
  <c r="F31" i="2"/>
  <c r="G31" i="2"/>
  <c r="D31" i="2"/>
  <c r="C31" i="2"/>
  <c r="B31" i="2"/>
  <c r="B30" i="2"/>
  <c r="C26" i="2"/>
  <c r="B26" i="2"/>
  <c r="C22" i="2"/>
  <c r="C23" i="2" s="1"/>
  <c r="B22" i="2"/>
  <c r="E27" i="2"/>
  <c r="G27" i="2"/>
  <c r="F27" i="2"/>
  <c r="D27" i="2"/>
  <c r="C27" i="2"/>
  <c r="B27" i="2"/>
  <c r="E23" i="2"/>
  <c r="F23" i="2"/>
  <c r="G23" i="2"/>
  <c r="D23" i="2"/>
  <c r="B23" i="2"/>
  <c r="C19" i="2"/>
  <c r="D19" i="2"/>
  <c r="E19" i="2"/>
  <c r="F19" i="2"/>
  <c r="G19" i="2"/>
  <c r="B19" i="2"/>
  <c r="C15" i="2"/>
  <c r="D15" i="2"/>
  <c r="E15" i="2"/>
  <c r="F15" i="2"/>
  <c r="G15" i="2"/>
  <c r="B15" i="2"/>
  <c r="E11" i="2"/>
  <c r="F11" i="2"/>
  <c r="G11" i="2"/>
  <c r="D11" i="2"/>
  <c r="C11" i="2"/>
  <c r="B11" i="2"/>
  <c r="C7" i="2"/>
  <c r="D7" i="2"/>
  <c r="E7" i="2"/>
  <c r="F7" i="2"/>
  <c r="G7" i="2"/>
  <c r="B7" i="2"/>
  <c r="E3" i="2"/>
  <c r="F3" i="2"/>
  <c r="G3" i="2"/>
  <c r="D3" i="2"/>
  <c r="I16" i="1"/>
  <c r="H16" i="1"/>
  <c r="G16" i="1"/>
  <c r="F16" i="1"/>
  <c r="E16" i="1"/>
  <c r="D16" i="1"/>
  <c r="I28" i="3" a="1"/>
  <c r="I13" i="3" a="1"/>
  <c r="I16" i="3" a="1"/>
  <c r="I20" i="3" a="1"/>
  <c r="I24" i="3" a="1"/>
  <c r="I32" i="3" a="1"/>
  <c r="G7" i="3" a="1"/>
  <c r="G3" i="3" a="1"/>
  <c r="H3" i="2" a="1"/>
  <c r="H31" i="2" a="1"/>
  <c r="H27" i="2" a="1"/>
  <c r="H23" i="2" a="1"/>
  <c r="H19" i="2" a="1"/>
  <c r="H15" i="2" a="1"/>
  <c r="H11" i="2" a="1"/>
  <c r="H8" i="2" a="1"/>
  <c r="H7" i="2" a="1"/>
  <c r="I28" i="3" l="1"/>
  <c r="I13" i="3"/>
  <c r="I16" i="3"/>
  <c r="I20" i="3"/>
  <c r="I24" i="3"/>
  <c r="I32" i="3"/>
  <c r="C16" i="3" a="1"/>
  <c r="C16" i="3" s="1"/>
  <c r="G7" i="3"/>
  <c r="G3" i="3"/>
  <c r="H3" i="2"/>
  <c r="H31" i="2"/>
  <c r="H27" i="2"/>
  <c r="H23" i="2"/>
  <c r="H19" i="2"/>
  <c r="H15" i="2"/>
  <c r="H11" i="2"/>
  <c r="H8" i="2"/>
  <c r="H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<sst xmlns="http://schemas.openxmlformats.org/spreadsheetml/2006/main" count="40" uniqueCount="15">
  <si>
    <t>command</t>
  </si>
  <si>
    <t>x_0</t>
  </si>
  <si>
    <t>y_0</t>
  </si>
  <si>
    <t>x_1</t>
  </si>
  <si>
    <t>y_1</t>
  </si>
  <si>
    <t>x_2</t>
  </si>
  <si>
    <t>y_2</t>
  </si>
  <si>
    <t>x_3</t>
  </si>
  <si>
    <t>y_3</t>
  </si>
  <si>
    <t>M</t>
  </si>
  <si>
    <t>c</t>
  </si>
  <si>
    <t>s</t>
  </si>
  <si>
    <t>z</t>
  </si>
  <si>
    <t>Absolute coordinates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</si>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</sst>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48"/>
      <color rgb="FFFF0000"/>
      <name val="Calibri (Body)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69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0" borderId="0" xfId="0" applyFill="1" applyBorder="1"/>
    <xf numFmtId="0" fontId="0" fillId="33" borderId="14" xfId="0" applyFill="1" applyBorder="1"/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"/>
  <sheetViews>
    <sheetView zoomScale="130" zoomScaleNormal="130" workbookViewId="0">
      <selection activeCell="H16" sqref="H16"/>
    </sheetView>
  </sheetViews>
  <sheetFormatPr baseColWidth="10" defaultRowHeight="16" x14ac:dyDescent="0.2"/>
  <sheetData>
    <row r="1" spans="1:9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">
      <c r="A2" t="s">
        <v>9</v>
      </c>
      <c r="B2">
        <v>213</v>
      </c>
      <c r="C2">
        <v>112</v>
      </c>
    </row>
    <row r="3" spans="1:9" x14ac:dyDescent="0.2">
      <c r="A3" t="s">
        <v>10</v>
      </c>
      <c r="D3">
        <v>-45</v>
      </c>
      <c r="E3">
        <v>0</v>
      </c>
      <c r="F3">
        <v>-69</v>
      </c>
      <c r="G3">
        <v>-34</v>
      </c>
      <c r="H3">
        <v>-69</v>
      </c>
      <c r="I3">
        <v>-88</v>
      </c>
    </row>
    <row r="4" spans="1:9" x14ac:dyDescent="0.2">
      <c r="A4" t="s">
        <v>10</v>
      </c>
      <c r="D4">
        <v>0</v>
      </c>
      <c r="E4">
        <v>-102</v>
      </c>
      <c r="F4">
        <v>89</v>
      </c>
      <c r="G4">
        <v>-136</v>
      </c>
      <c r="H4">
        <v>134</v>
      </c>
      <c r="I4">
        <v>-136</v>
      </c>
    </row>
    <row r="5" spans="1:9" x14ac:dyDescent="0.2">
      <c r="A5" t="s">
        <v>11</v>
      </c>
      <c r="F5">
        <v>69</v>
      </c>
      <c r="G5">
        <v>34</v>
      </c>
      <c r="H5">
        <v>69</v>
      </c>
      <c r="I5">
        <v>88</v>
      </c>
    </row>
    <row r="6" spans="1:9" x14ac:dyDescent="0.2">
      <c r="A6" t="s">
        <v>10</v>
      </c>
      <c r="D6">
        <v>0</v>
      </c>
      <c r="E6">
        <v>102</v>
      </c>
      <c r="F6">
        <v>-89</v>
      </c>
      <c r="G6">
        <v>136</v>
      </c>
      <c r="H6">
        <v>-134</v>
      </c>
      <c r="I6">
        <v>136</v>
      </c>
    </row>
    <row r="7" spans="1:9" x14ac:dyDescent="0.2">
      <c r="A7" t="s">
        <v>12</v>
      </c>
    </row>
    <row r="8" spans="1:9" x14ac:dyDescent="0.2">
      <c r="A8" t="s">
        <v>9</v>
      </c>
      <c r="B8">
        <v>245</v>
      </c>
      <c r="C8">
        <v>136</v>
      </c>
    </row>
    <row r="9" spans="1:9" x14ac:dyDescent="0.2">
      <c r="A9" t="s">
        <v>10</v>
      </c>
      <c r="D9">
        <v>144</v>
      </c>
      <c r="E9">
        <v>0</v>
      </c>
      <c r="F9">
        <v>246</v>
      </c>
      <c r="G9">
        <v>-65</v>
      </c>
      <c r="H9">
        <v>246</v>
      </c>
      <c r="I9">
        <v>-136</v>
      </c>
    </row>
    <row r="10" spans="1:9" x14ac:dyDescent="0.2">
      <c r="A10" t="s">
        <v>11</v>
      </c>
      <c r="F10">
        <v>-102</v>
      </c>
      <c r="G10">
        <v>-136</v>
      </c>
      <c r="H10">
        <v>-246</v>
      </c>
      <c r="I10">
        <v>-136</v>
      </c>
    </row>
    <row r="11" spans="1:9" x14ac:dyDescent="0.2">
      <c r="A11" t="s">
        <v>11</v>
      </c>
      <c r="F11">
        <v>-245</v>
      </c>
      <c r="G11">
        <v>65</v>
      </c>
      <c r="H11">
        <v>-245</v>
      </c>
      <c r="I11">
        <v>136</v>
      </c>
    </row>
    <row r="12" spans="1:9" x14ac:dyDescent="0.2">
      <c r="A12" t="s">
        <v>11</v>
      </c>
      <c r="F12">
        <v>101</v>
      </c>
      <c r="G12">
        <v>136</v>
      </c>
      <c r="H12">
        <v>245</v>
      </c>
      <c r="I12">
        <v>136</v>
      </c>
    </row>
    <row r="13" spans="1:9" x14ac:dyDescent="0.2">
      <c r="A13" t="s">
        <v>12</v>
      </c>
    </row>
    <row r="14" spans="1:9" ht="26" x14ac:dyDescent="0.3">
      <c r="A14" s="2" t="s">
        <v>13</v>
      </c>
      <c r="B14" s="2"/>
      <c r="C14" s="2"/>
      <c r="D14" s="2"/>
      <c r="E14" s="2"/>
      <c r="F14" s="2"/>
      <c r="G14" s="2"/>
      <c r="H14" s="2"/>
      <c r="I14" s="2"/>
    </row>
    <row r="15" spans="1:9" x14ac:dyDescent="0.2">
      <c r="A15" t="s">
        <v>9</v>
      </c>
      <c r="B15">
        <v>213</v>
      </c>
      <c r="C15">
        <v>112</v>
      </c>
    </row>
    <row r="16" spans="1:9" x14ac:dyDescent="0.2">
      <c r="A16" t="s">
        <v>14</v>
      </c>
      <c r="B16">
        <v>213</v>
      </c>
      <c r="C16">
        <v>112</v>
      </c>
      <c r="D16">
        <f>D3+B16</f>
        <v>168</v>
      </c>
      <c r="E16">
        <f>E3+C16</f>
        <v>112</v>
      </c>
      <c r="F16">
        <f>F3+B16</f>
        <v>144</v>
      </c>
      <c r="G16">
        <f>G3+C16</f>
        <v>78</v>
      </c>
      <c r="H16">
        <f>H3+B16</f>
        <v>144</v>
      </c>
      <c r="I16">
        <f>I3+C16</f>
        <v>24</v>
      </c>
    </row>
    <row r="17" spans="1:1" x14ac:dyDescent="0.2">
      <c r="A17" t="s">
        <v>10</v>
      </c>
    </row>
    <row r="18" spans="1:1" x14ac:dyDescent="0.2">
      <c r="A18" t="s">
        <v>11</v>
      </c>
    </row>
    <row r="19" spans="1:1" x14ac:dyDescent="0.2">
      <c r="A19" t="s">
        <v>10</v>
      </c>
    </row>
    <row r="20" spans="1:1" x14ac:dyDescent="0.2">
      <c r="A20" t="s">
        <v>12</v>
      </c>
    </row>
    <row r="21" spans="1:1" x14ac:dyDescent="0.2">
      <c r="A21" t="s">
        <v>9</v>
      </c>
    </row>
    <row r="22" spans="1:1" x14ac:dyDescent="0.2">
      <c r="A22" t="s">
        <v>10</v>
      </c>
    </row>
    <row r="23" spans="1:1" x14ac:dyDescent="0.2">
      <c r="A23" t="s">
        <v>11</v>
      </c>
    </row>
    <row r="24" spans="1:1" x14ac:dyDescent="0.2">
      <c r="A24" t="s">
        <v>11</v>
      </c>
    </row>
    <row r="25" spans="1:1" x14ac:dyDescent="0.2">
      <c r="A25" t="s">
        <v>11</v>
      </c>
    </row>
    <row r="26" spans="1:1" x14ac:dyDescent="0.2">
      <c r="A26" t="s">
        <v>12</v>
      </c>
    </row>
  </sheetData>
  <mergeCells count="1">
    <mergeCell ref="A14:I14"/>
  </mergeCells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zoomScale="125" zoomScaleNormal="125" workbookViewId="0">
      <selection activeCell="B12" sqref="B12"/>
    </sheetView>
  </sheetViews>
  <sheetFormatPr baseColWidth="10" defaultRowHeight="16" x14ac:dyDescent="0.2"/>
  <cols>
    <col min="1" max="1" width="10.83203125" style="3"/>
    <col min="4" max="4" width="10.83203125" style="8"/>
    <col min="5" max="5" width="10.83203125" style="9"/>
  </cols>
  <sheetData>
    <row r="1" spans="1:8" x14ac:dyDescent="0.2">
      <c r="B1">
        <v>213</v>
      </c>
      <c r="C1">
        <v>112</v>
      </c>
      <c r="D1" s="6">
        <v>213</v>
      </c>
      <c r="E1" s="7">
        <v>112</v>
      </c>
      <c r="F1">
        <v>213</v>
      </c>
      <c r="G1">
        <v>112</v>
      </c>
    </row>
    <row r="2" spans="1:8" x14ac:dyDescent="0.2">
      <c r="B2">
        <v>-45</v>
      </c>
      <c r="C2">
        <v>0</v>
      </c>
      <c r="D2" s="11">
        <v>-69</v>
      </c>
      <c r="E2" s="11">
        <v>-34</v>
      </c>
      <c r="F2" s="10">
        <v>-69</v>
      </c>
      <c r="G2" s="10">
        <v>-88</v>
      </c>
    </row>
    <row r="3" spans="1:8" x14ac:dyDescent="0.2">
      <c r="B3">
        <f>SUM(B1:B2)</f>
        <v>168</v>
      </c>
      <c r="C3">
        <f>SUM(C1:C2)</f>
        <v>112</v>
      </c>
      <c r="D3" s="11">
        <f>SUM(B1:B2)</f>
        <v>168</v>
      </c>
      <c r="E3" s="11">
        <f>SUM(C1:C2)</f>
        <v>112</v>
      </c>
      <c r="F3" s="10">
        <f>SUM(D1:D2)</f>
        <v>144</v>
      </c>
      <c r="G3" s="10">
        <f>SUM(E1:E2)</f>
        <v>78</v>
      </c>
      <c r="H3" s="10" t="str" cm="1">
        <f t="array" ref="H3">AsString(B3:G3)</f>
        <v>168 112 168 112 144 78</v>
      </c>
    </row>
    <row r="5" spans="1:8" x14ac:dyDescent="0.2">
      <c r="B5">
        <v>144</v>
      </c>
      <c r="C5">
        <v>24</v>
      </c>
      <c r="D5" s="8">
        <v>144</v>
      </c>
      <c r="E5" s="9">
        <v>24</v>
      </c>
      <c r="F5">
        <v>144</v>
      </c>
      <c r="G5">
        <v>24</v>
      </c>
    </row>
    <row r="6" spans="1:8" x14ac:dyDescent="0.2">
      <c r="B6">
        <v>0</v>
      </c>
      <c r="C6">
        <v>-102</v>
      </c>
      <c r="D6" s="8">
        <v>89</v>
      </c>
      <c r="E6" s="9">
        <v>-136</v>
      </c>
      <c r="F6">
        <v>134</v>
      </c>
      <c r="G6">
        <v>-136</v>
      </c>
    </row>
    <row r="7" spans="1:8" x14ac:dyDescent="0.2">
      <c r="B7">
        <f>SUM(B5,B6)</f>
        <v>144</v>
      </c>
      <c r="C7">
        <f t="shared" ref="C7:G7" si="0">SUM(C5,C6)</f>
        <v>-78</v>
      </c>
      <c r="D7" s="8">
        <f t="shared" si="0"/>
        <v>233</v>
      </c>
      <c r="E7" s="9">
        <f t="shared" si="0"/>
        <v>-112</v>
      </c>
      <c r="F7">
        <f t="shared" si="0"/>
        <v>278</v>
      </c>
      <c r="G7">
        <f t="shared" si="0"/>
        <v>-112</v>
      </c>
      <c r="H7" t="str" cm="1">
        <f t="array" ref="H7">AsString(B7:G7)</f>
        <v>144 -78 233 -112 278 -112</v>
      </c>
    </row>
    <row r="8" spans="1:8" x14ac:dyDescent="0.2">
      <c r="H8" t="str" cm="1">
        <f t="array" ref="H8">AsString(B8:G8)</f>
        <v/>
      </c>
    </row>
    <row r="9" spans="1:8" x14ac:dyDescent="0.2">
      <c r="A9" s="5" t="s">
        <v>11</v>
      </c>
      <c r="B9">
        <v>278</v>
      </c>
      <c r="C9">
        <v>-112</v>
      </c>
      <c r="D9" s="8">
        <v>278</v>
      </c>
      <c r="E9" s="9">
        <v>-112</v>
      </c>
      <c r="F9">
        <v>278</v>
      </c>
      <c r="G9">
        <v>-112</v>
      </c>
    </row>
    <row r="10" spans="1:8" x14ac:dyDescent="0.2">
      <c r="A10" s="4"/>
      <c r="B10">
        <v>233</v>
      </c>
      <c r="C10">
        <v>-112</v>
      </c>
      <c r="D10" s="8">
        <v>69</v>
      </c>
      <c r="E10" s="9">
        <v>34</v>
      </c>
      <c r="F10">
        <v>69</v>
      </c>
      <c r="G10">
        <v>88</v>
      </c>
    </row>
    <row r="11" spans="1:8" x14ac:dyDescent="0.2">
      <c r="A11" s="4"/>
      <c r="B11">
        <f>B9-B10</f>
        <v>45</v>
      </c>
      <c r="C11">
        <f>C9-C10</f>
        <v>0</v>
      </c>
      <c r="D11" s="8">
        <f>SUM(D9,D10)</f>
        <v>347</v>
      </c>
      <c r="E11" s="9">
        <f t="shared" ref="E11:G11" si="1">SUM(E9,E10)</f>
        <v>-78</v>
      </c>
      <c r="F11">
        <f t="shared" si="1"/>
        <v>347</v>
      </c>
      <c r="G11">
        <f t="shared" si="1"/>
        <v>-24</v>
      </c>
      <c r="H11" t="str" cm="1">
        <f t="array" ref="H11">AsString(B11:G11)</f>
        <v>45 0 347 -78 347 -24</v>
      </c>
    </row>
    <row r="13" spans="1:8" x14ac:dyDescent="0.2">
      <c r="B13">
        <v>347</v>
      </c>
      <c r="C13">
        <v>-24</v>
      </c>
      <c r="D13" s="8">
        <v>347</v>
      </c>
      <c r="E13" s="9">
        <v>-24</v>
      </c>
      <c r="F13">
        <v>347</v>
      </c>
      <c r="G13">
        <v>-24</v>
      </c>
    </row>
    <row r="14" spans="1:8" x14ac:dyDescent="0.2">
      <c r="B14">
        <v>0</v>
      </c>
      <c r="C14">
        <v>102</v>
      </c>
      <c r="D14" s="8">
        <v>-89</v>
      </c>
      <c r="E14" s="9">
        <v>136</v>
      </c>
      <c r="F14">
        <v>-134</v>
      </c>
      <c r="G14">
        <v>136</v>
      </c>
    </row>
    <row r="15" spans="1:8" x14ac:dyDescent="0.2">
      <c r="B15">
        <f>SUM(B13:B14)</f>
        <v>347</v>
      </c>
      <c r="C15">
        <f t="shared" ref="C15:G15" si="2">SUM(C13:C14)</f>
        <v>78</v>
      </c>
      <c r="D15" s="8">
        <f t="shared" si="2"/>
        <v>258</v>
      </c>
      <c r="E15" s="9">
        <f t="shared" si="2"/>
        <v>112</v>
      </c>
      <c r="F15">
        <f t="shared" si="2"/>
        <v>213</v>
      </c>
      <c r="G15">
        <f t="shared" si="2"/>
        <v>112</v>
      </c>
      <c r="H15" t="str" cm="1">
        <f t="array" ref="H15">AsString(B15:G15)</f>
        <v>347 78 258 112 213 112</v>
      </c>
    </row>
    <row r="16" spans="1:8" x14ac:dyDescent="0.2">
      <c r="A16" s="3" t="s">
        <v>9</v>
      </c>
    </row>
    <row r="17" spans="1:8" x14ac:dyDescent="0.2">
      <c r="A17" s="5" t="s">
        <v>10</v>
      </c>
      <c r="B17">
        <v>245</v>
      </c>
      <c r="C17">
        <v>136</v>
      </c>
      <c r="D17" s="8">
        <v>245</v>
      </c>
      <c r="E17" s="9">
        <v>136</v>
      </c>
      <c r="F17">
        <v>245</v>
      </c>
      <c r="G17">
        <v>136</v>
      </c>
    </row>
    <row r="18" spans="1:8" x14ac:dyDescent="0.2">
      <c r="A18" s="4"/>
      <c r="B18">
        <v>144</v>
      </c>
      <c r="C18">
        <v>0</v>
      </c>
      <c r="D18" s="8">
        <v>246</v>
      </c>
      <c r="E18" s="9">
        <v>-65</v>
      </c>
      <c r="F18">
        <v>246</v>
      </c>
      <c r="G18">
        <v>-136</v>
      </c>
    </row>
    <row r="19" spans="1:8" x14ac:dyDescent="0.2">
      <c r="A19" s="4"/>
      <c r="B19">
        <f>SUM(B17:B18)</f>
        <v>389</v>
      </c>
      <c r="C19">
        <f t="shared" ref="C19:G19" si="3">SUM(C17:C18)</f>
        <v>136</v>
      </c>
      <c r="D19" s="8">
        <f t="shared" si="3"/>
        <v>491</v>
      </c>
      <c r="E19" s="9">
        <f t="shared" si="3"/>
        <v>71</v>
      </c>
      <c r="F19">
        <f t="shared" si="3"/>
        <v>491</v>
      </c>
      <c r="G19">
        <f t="shared" si="3"/>
        <v>0</v>
      </c>
      <c r="H19" t="str" cm="1">
        <f t="array" ref="H19">AsString(B19:G19)</f>
        <v>389 136 491 71 491 0</v>
      </c>
    </row>
    <row r="21" spans="1:8" x14ac:dyDescent="0.2">
      <c r="A21" s="5" t="s">
        <v>11</v>
      </c>
      <c r="B21">
        <v>491</v>
      </c>
      <c r="C21">
        <v>0</v>
      </c>
      <c r="D21" s="8">
        <v>491</v>
      </c>
      <c r="E21" s="9">
        <v>0</v>
      </c>
      <c r="F21">
        <v>491</v>
      </c>
      <c r="G21">
        <v>0</v>
      </c>
    </row>
    <row r="22" spans="1:8" x14ac:dyDescent="0.2">
      <c r="A22" s="4"/>
      <c r="B22">
        <f>F18</f>
        <v>246</v>
      </c>
      <c r="C22">
        <f>G18</f>
        <v>-136</v>
      </c>
      <c r="D22" s="8">
        <v>-102</v>
      </c>
      <c r="E22" s="9">
        <v>-136</v>
      </c>
      <c r="F22">
        <v>-246</v>
      </c>
      <c r="G22">
        <v>-136</v>
      </c>
    </row>
    <row r="23" spans="1:8" x14ac:dyDescent="0.2">
      <c r="A23" s="4"/>
      <c r="B23">
        <f>(B21-B22)</f>
        <v>245</v>
      </c>
      <c r="C23">
        <f>(C21-C22)</f>
        <v>136</v>
      </c>
      <c r="D23" s="8">
        <f>SUM(D21:D22)</f>
        <v>389</v>
      </c>
      <c r="E23" s="9">
        <f t="shared" ref="E23:G23" si="4">SUM(E21:E22)</f>
        <v>-136</v>
      </c>
      <c r="F23">
        <f t="shared" si="4"/>
        <v>245</v>
      </c>
      <c r="G23">
        <f t="shared" si="4"/>
        <v>-136</v>
      </c>
      <c r="H23" t="str" cm="1">
        <f t="array" ref="H23">AsString(B23:G23)</f>
        <v>245 136 389 -136 245 -136</v>
      </c>
    </row>
    <row r="25" spans="1:8" x14ac:dyDescent="0.2">
      <c r="A25" s="5" t="s">
        <v>11</v>
      </c>
      <c r="B25">
        <v>235</v>
      </c>
      <c r="C25">
        <v>-136</v>
      </c>
      <c r="D25" s="8">
        <v>235</v>
      </c>
      <c r="E25" s="9">
        <v>-136</v>
      </c>
      <c r="F25">
        <v>235</v>
      </c>
      <c r="G25">
        <v>-136</v>
      </c>
    </row>
    <row r="26" spans="1:8" x14ac:dyDescent="0.2">
      <c r="A26" s="4"/>
      <c r="B26">
        <f>F22</f>
        <v>-246</v>
      </c>
      <c r="C26">
        <f>G22</f>
        <v>-136</v>
      </c>
      <c r="D26" s="8">
        <v>-245</v>
      </c>
      <c r="E26" s="9">
        <v>65</v>
      </c>
      <c r="F26">
        <v>-245</v>
      </c>
      <c r="G26">
        <v>136</v>
      </c>
    </row>
    <row r="27" spans="1:8" x14ac:dyDescent="0.2">
      <c r="A27" s="4"/>
      <c r="B27">
        <f>(B25-B26)</f>
        <v>481</v>
      </c>
      <c r="C27">
        <f>(C25-C26)</f>
        <v>0</v>
      </c>
      <c r="D27" s="8">
        <f>SUM(D25:D26)</f>
        <v>-10</v>
      </c>
      <c r="E27" s="9">
        <f t="shared" ref="E27" si="5">SUM(E25:E26)</f>
        <v>-71</v>
      </c>
      <c r="F27">
        <f t="shared" ref="F27" si="6">SUM(F25:F26)</f>
        <v>-10</v>
      </c>
      <c r="G27">
        <f t="shared" ref="G27" si="7">SUM(G25:G26)</f>
        <v>0</v>
      </c>
      <c r="H27" t="str" cm="1">
        <f t="array" ref="H27">AsString(B27:G27)</f>
        <v>481 0 -10 -71 -10 0</v>
      </c>
    </row>
    <row r="29" spans="1:8" x14ac:dyDescent="0.2">
      <c r="A29" s="5" t="s">
        <v>11</v>
      </c>
      <c r="B29">
        <v>-10</v>
      </c>
      <c r="C29">
        <v>0</v>
      </c>
      <c r="D29" s="8">
        <v>-10</v>
      </c>
      <c r="E29" s="9">
        <v>0</v>
      </c>
      <c r="F29">
        <v>-10</v>
      </c>
      <c r="G29">
        <v>0</v>
      </c>
    </row>
    <row r="30" spans="1:8" x14ac:dyDescent="0.2">
      <c r="A30" s="4"/>
      <c r="B30">
        <f>-10</f>
        <v>-10</v>
      </c>
      <c r="C30">
        <v>-71</v>
      </c>
      <c r="D30" s="8">
        <v>101</v>
      </c>
      <c r="E30" s="9">
        <v>136</v>
      </c>
      <c r="F30">
        <v>245</v>
      </c>
      <c r="G30">
        <v>136</v>
      </c>
    </row>
    <row r="31" spans="1:8" x14ac:dyDescent="0.2">
      <c r="A31" s="4"/>
      <c r="B31">
        <f>B29-B30</f>
        <v>0</v>
      </c>
      <c r="C31">
        <f>C29-C30</f>
        <v>71</v>
      </c>
      <c r="D31" s="8">
        <f>SUM(D29:D30)</f>
        <v>91</v>
      </c>
      <c r="E31" s="8">
        <f t="shared" ref="E31:G31" si="8">SUM(E29:E30)</f>
        <v>136</v>
      </c>
      <c r="F31" s="8">
        <f t="shared" si="8"/>
        <v>235</v>
      </c>
      <c r="G31" s="8">
        <f t="shared" si="8"/>
        <v>136</v>
      </c>
      <c r="H31" t="str" cm="1">
        <f t="array" ref="H31">AsString(B31:G31)</f>
        <v>0 71 91 136 235 136</v>
      </c>
    </row>
  </sheetData>
  <mergeCells count="5">
    <mergeCell ref="A9:A11"/>
    <mergeCell ref="A21:A23"/>
    <mergeCell ref="A25:A27"/>
    <mergeCell ref="A17:A19"/>
    <mergeCell ref="A29:A31"/>
  </mergeCell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tabSelected="1" topLeftCell="A5" workbookViewId="0">
      <selection activeCell="L29" sqref="L29"/>
    </sheetView>
  </sheetViews>
  <sheetFormatPr baseColWidth="10" defaultRowHeight="16" x14ac:dyDescent="0.2"/>
  <sheetData>
    <row r="1" spans="1:9" x14ac:dyDescent="0.2">
      <c r="A1">
        <v>127</v>
      </c>
      <c r="B1">
        <v>-725</v>
      </c>
      <c r="C1">
        <v>127</v>
      </c>
      <c r="D1">
        <v>-725</v>
      </c>
      <c r="E1">
        <v>127</v>
      </c>
      <c r="F1">
        <v>-725</v>
      </c>
    </row>
    <row r="2" spans="1:9" x14ac:dyDescent="0.2">
      <c r="A2">
        <v>26</v>
      </c>
      <c r="B2">
        <v>61</v>
      </c>
      <c r="C2">
        <v>42</v>
      </c>
      <c r="D2">
        <v>126</v>
      </c>
      <c r="E2">
        <v>42</v>
      </c>
      <c r="F2">
        <v>192</v>
      </c>
    </row>
    <row r="3" spans="1:9" x14ac:dyDescent="0.2">
      <c r="A3">
        <f>SUM(A1:A2)</f>
        <v>153</v>
      </c>
      <c r="B3">
        <f t="shared" ref="B3:F3" si="0">SUM(B1:B2)</f>
        <v>-664</v>
      </c>
      <c r="C3">
        <f t="shared" si="0"/>
        <v>169</v>
      </c>
      <c r="D3">
        <f t="shared" si="0"/>
        <v>-599</v>
      </c>
      <c r="E3">
        <f t="shared" si="0"/>
        <v>169</v>
      </c>
      <c r="F3">
        <f t="shared" si="0"/>
        <v>-533</v>
      </c>
      <c r="G3" t="str" cm="1">
        <f t="array" ref="G3">AsString(A3:F3)</f>
        <v>153 -664 169 -599 169 -533</v>
      </c>
    </row>
    <row r="5" spans="1:9" x14ac:dyDescent="0.2">
      <c r="A5" s="12">
        <v>169</v>
      </c>
      <c r="B5">
        <v>-533</v>
      </c>
      <c r="C5" s="12">
        <v>169</v>
      </c>
      <c r="D5">
        <v>-533</v>
      </c>
      <c r="E5" s="12">
        <v>169</v>
      </c>
      <c r="F5">
        <v>-533</v>
      </c>
    </row>
    <row r="6" spans="1:9" x14ac:dyDescent="0.2">
      <c r="A6">
        <v>0</v>
      </c>
      <c r="B6">
        <v>103</v>
      </c>
      <c r="C6">
        <v>-94</v>
      </c>
      <c r="D6">
        <v>208</v>
      </c>
      <c r="E6">
        <v>-165</v>
      </c>
      <c r="F6">
        <v>283</v>
      </c>
    </row>
    <row r="7" spans="1:9" x14ac:dyDescent="0.2">
      <c r="A7">
        <f>SUM(A5:A6)</f>
        <v>169</v>
      </c>
      <c r="B7">
        <f t="shared" ref="B7:F7" si="1">SUM(B5:B6)</f>
        <v>-430</v>
      </c>
      <c r="C7">
        <f t="shared" si="1"/>
        <v>75</v>
      </c>
      <c r="D7">
        <f t="shared" si="1"/>
        <v>-325</v>
      </c>
      <c r="E7">
        <f t="shared" si="1"/>
        <v>4</v>
      </c>
      <c r="F7">
        <f t="shared" si="1"/>
        <v>-250</v>
      </c>
      <c r="G7" t="str" cm="1">
        <f t="array" ref="G7">AsString($A7:$F7)</f>
        <v>169 -430 75 -325 4 -250</v>
      </c>
    </row>
    <row r="9" spans="1:9" x14ac:dyDescent="0.2">
      <c r="A9">
        <v>0</v>
      </c>
      <c r="B9">
        <v>0</v>
      </c>
    </row>
    <row r="12" spans="1:9" x14ac:dyDescent="0.2">
      <c r="A12">
        <v>0</v>
      </c>
      <c r="B12">
        <v>0</v>
      </c>
      <c r="C12">
        <v>0</v>
      </c>
      <c r="D12">
        <v>-197</v>
      </c>
      <c r="E12">
        <v>207</v>
      </c>
      <c r="F12">
        <v>-336</v>
      </c>
      <c r="G12">
        <v>207</v>
      </c>
      <c r="H12">
        <v>-533</v>
      </c>
    </row>
    <row r="13" spans="1:9" x14ac:dyDescent="0.2">
      <c r="A13">
        <v>0</v>
      </c>
      <c r="B13">
        <v>0</v>
      </c>
      <c r="C13">
        <f>$A12 + C12</f>
        <v>0</v>
      </c>
      <c r="D13">
        <f>$B12 + D12</f>
        <v>-197</v>
      </c>
      <c r="E13">
        <f>$A12 + E12</f>
        <v>207</v>
      </c>
      <c r="F13">
        <f>$A12 + F12</f>
        <v>-336</v>
      </c>
      <c r="G13" cm="1">
        <f t="array" ref="G13:H13">{207,-533}</f>
        <v>207</v>
      </c>
      <c r="H13">
        <v>-533</v>
      </c>
      <c r="I13" t="str" cm="1">
        <f t="array" ref="I13">Aspath(A13:H13)</f>
        <v>M 0 0 C 0 -197 207 -336 207 -533</v>
      </c>
    </row>
    <row r="15" spans="1:9" x14ac:dyDescent="0.2">
      <c r="A15" cm="1">
        <f t="array" ref="A15:B15">G13:H13</f>
        <v>207</v>
      </c>
      <c r="B15">
        <v>-533</v>
      </c>
      <c r="C15">
        <v>0</v>
      </c>
      <c r="D15">
        <v>-71</v>
      </c>
      <c r="E15">
        <v>-15</v>
      </c>
      <c r="F15">
        <v>-141</v>
      </c>
      <c r="G15">
        <v>-41</v>
      </c>
      <c r="H15">
        <v>-207</v>
      </c>
    </row>
    <row r="16" spans="1:9" x14ac:dyDescent="0.2">
      <c r="A16" cm="1">
        <f t="array" ref="A16:B16">A15:B15</f>
        <v>207</v>
      </c>
      <c r="B16">
        <v>-533</v>
      </c>
      <c r="C16" cm="1">
        <f t="array" ref="C16:D16">C15:D15+A15:B15</f>
        <v>207</v>
      </c>
      <c r="D16">
        <v>-604</v>
      </c>
      <c r="E16" cm="1">
        <f t="array" ref="E16:F16">A15:B15+E15:F15</f>
        <v>192</v>
      </c>
      <c r="F16">
        <v>-674</v>
      </c>
      <c r="G16" cm="1">
        <f t="array" ref="G16:H16">{166,-740}</f>
        <v>166</v>
      </c>
      <c r="H16">
        <v>-740</v>
      </c>
      <c r="I16" t="str" cm="1">
        <f t="array" ref="I16">Aspath(A16:H16)</f>
        <v>M 207 -533 C 207 -604 192 -674 166 -740</v>
      </c>
    </row>
    <row r="18" spans="1:9" x14ac:dyDescent="0.2">
      <c r="A18" cm="1">
        <f t="array" ref="A18:B18">G16:H16</f>
        <v>166</v>
      </c>
      <c r="B18">
        <v>-740</v>
      </c>
      <c r="C18">
        <v>-5</v>
      </c>
      <c r="D18">
        <v>-8</v>
      </c>
      <c r="E18">
        <v>-13</v>
      </c>
      <c r="F18">
        <v>-12</v>
      </c>
      <c r="G18">
        <v>-20</v>
      </c>
      <c r="H18">
        <v>-12</v>
      </c>
    </row>
    <row r="19" spans="1:9" x14ac:dyDescent="0.2">
      <c r="C19" cm="1">
        <f t="array" ref="C19:D19">{166,-740}</f>
        <v>166</v>
      </c>
      <c r="D19">
        <v>-740</v>
      </c>
      <c r="E19" cm="1">
        <f t="array" ref="E19:F19">{166,-740}</f>
        <v>166</v>
      </c>
      <c r="F19">
        <v>-740</v>
      </c>
      <c r="G19" cm="1">
        <f t="array" ref="G19:H19">{166,-740}</f>
        <v>166</v>
      </c>
      <c r="H19">
        <v>-740</v>
      </c>
    </row>
    <row r="20" spans="1:9" x14ac:dyDescent="0.2">
      <c r="A20" cm="1">
        <f t="array" ref="A20:B20">A18:B18</f>
        <v>166</v>
      </c>
      <c r="B20">
        <v>-740</v>
      </c>
      <c r="C20" cm="1">
        <f t="array" ref="C20:H20">C18:H18+C19:H19</f>
        <v>161</v>
      </c>
      <c r="D20">
        <v>-748</v>
      </c>
      <c r="E20">
        <v>153</v>
      </c>
      <c r="F20">
        <v>-752</v>
      </c>
      <c r="G20">
        <v>146</v>
      </c>
      <c r="H20">
        <v>-752</v>
      </c>
      <c r="I20" t="str" cm="1">
        <f t="array" ref="I20">Aspath(A20:H20)</f>
        <v>M 166 -740 C 161 -748 153 -752 146 -752</v>
      </c>
    </row>
    <row r="22" spans="1:9" x14ac:dyDescent="0.2">
      <c r="A22" cm="1">
        <f t="array" ref="A22:B22">{146,-752}</f>
        <v>146</v>
      </c>
      <c r="B22">
        <v>-752</v>
      </c>
      <c r="C22">
        <v>-13</v>
      </c>
      <c r="D22">
        <v>0</v>
      </c>
      <c r="E22">
        <v>-26</v>
      </c>
      <c r="F22">
        <v>11</v>
      </c>
      <c r="G22">
        <v>-23</v>
      </c>
      <c r="H22">
        <v>27</v>
      </c>
    </row>
    <row r="23" spans="1:9" x14ac:dyDescent="0.2">
      <c r="C23" cm="1">
        <f t="array" ref="C23:D23">{146,-752}</f>
        <v>146</v>
      </c>
      <c r="D23">
        <v>-752</v>
      </c>
      <c r="E23" cm="1">
        <f t="array" ref="E23:F23">{146,-752}</f>
        <v>146</v>
      </c>
      <c r="F23">
        <v>-752</v>
      </c>
      <c r="G23" cm="1">
        <f t="array" ref="G23:H23">{146,-752}</f>
        <v>146</v>
      </c>
      <c r="H23">
        <v>-752</v>
      </c>
    </row>
    <row r="24" spans="1:9" x14ac:dyDescent="0.2">
      <c r="A24" cm="1">
        <f t="array" ref="A24:B24">A22:B22</f>
        <v>146</v>
      </c>
      <c r="B24">
        <v>-752</v>
      </c>
      <c r="C24" cm="1">
        <f t="array" ref="C24:H24">C22:H22+C23:H23</f>
        <v>133</v>
      </c>
      <c r="D24">
        <v>-752</v>
      </c>
      <c r="E24">
        <v>120</v>
      </c>
      <c r="F24">
        <v>-741</v>
      </c>
      <c r="G24">
        <v>123</v>
      </c>
      <c r="H24">
        <v>-725</v>
      </c>
      <c r="I24" t="str" cm="1">
        <f t="array" ref="I24">Aspath(A24:H24)</f>
        <v>M 146 -752 C 133 -752 120 -741 123 -725</v>
      </c>
    </row>
    <row r="26" spans="1:9" x14ac:dyDescent="0.2">
      <c r="A26" cm="1">
        <f t="array" ref="A26:B26">{123,-725}</f>
        <v>123</v>
      </c>
      <c r="B26">
        <v>-725</v>
      </c>
      <c r="C26">
        <v>26</v>
      </c>
      <c r="D26">
        <v>61</v>
      </c>
      <c r="E26">
        <v>42</v>
      </c>
      <c r="F26">
        <v>126</v>
      </c>
      <c r="G26">
        <v>42</v>
      </c>
      <c r="H26">
        <v>192</v>
      </c>
    </row>
    <row r="27" spans="1:9" x14ac:dyDescent="0.2">
      <c r="C27" cm="1">
        <f t="array" ref="C27:D27">_xlfn.ANCHORARRAY(A26)</f>
        <v>123</v>
      </c>
      <c r="D27">
        <v>-725</v>
      </c>
      <c r="E27" cm="1">
        <f t="array" ref="E27:F27">_xlfn.ANCHORARRAY(A26)</f>
        <v>123</v>
      </c>
      <c r="F27">
        <v>-725</v>
      </c>
      <c r="G27" cm="1">
        <f t="array" ref="G27:H27">_xlfn.ANCHORARRAY(A26)</f>
        <v>123</v>
      </c>
      <c r="H27">
        <v>-725</v>
      </c>
    </row>
    <row r="28" spans="1:9" x14ac:dyDescent="0.2">
      <c r="A28">
        <f>123</f>
        <v>123</v>
      </c>
      <c r="B28">
        <f>725</f>
        <v>725</v>
      </c>
      <c r="C28" cm="1">
        <f t="array" ref="C28:H28">C26:H26+C27:H27</f>
        <v>149</v>
      </c>
      <c r="D28">
        <v>-664</v>
      </c>
      <c r="E28">
        <v>165</v>
      </c>
      <c r="F28">
        <v>-599</v>
      </c>
      <c r="G28">
        <v>165</v>
      </c>
      <c r="H28">
        <v>-533</v>
      </c>
      <c r="I28" t="str" cm="1">
        <f t="array" ref="I28">Aspath(A28:H28)</f>
        <v>M 123 725 C 149 -664 165 -599 165 -533</v>
      </c>
    </row>
    <row r="30" spans="1:9" x14ac:dyDescent="0.2">
      <c r="A30" cm="1">
        <f t="array" ref="A30:B30">G28:H28</f>
        <v>165</v>
      </c>
      <c r="B30">
        <v>-533</v>
      </c>
      <c r="C30">
        <v>0</v>
      </c>
      <c r="D30">
        <v>103</v>
      </c>
      <c r="E30">
        <v>-94</v>
      </c>
      <c r="F30">
        <v>208</v>
      </c>
      <c r="G30">
        <v>-165</v>
      </c>
      <c r="H30">
        <v>283</v>
      </c>
    </row>
    <row r="31" spans="1:9" x14ac:dyDescent="0.2">
      <c r="C31" cm="1">
        <f t="array" ref="C31:D31">_xlfn.ANCHORARRAY(A30)</f>
        <v>165</v>
      </c>
      <c r="D31">
        <v>-533</v>
      </c>
      <c r="E31" cm="1">
        <f t="array" ref="E31:F31">_xlfn.ANCHORARRAY(A30)</f>
        <v>165</v>
      </c>
      <c r="F31">
        <v>-533</v>
      </c>
      <c r="G31" cm="1">
        <f t="array" ref="G31:H31">_xlfn.ANCHORARRAY(A30)</f>
        <v>165</v>
      </c>
      <c r="H31">
        <v>-533</v>
      </c>
    </row>
    <row r="32" spans="1:9" x14ac:dyDescent="0.2">
      <c r="A32" cm="1">
        <f t="array" ref="A32:B32">{-165,283}</f>
        <v>-165</v>
      </c>
      <c r="B32">
        <v>283</v>
      </c>
      <c r="C32" cm="1">
        <f t="array" ref="C32:H32">C30:H30+C31:H31</f>
        <v>165</v>
      </c>
      <c r="D32">
        <v>-430</v>
      </c>
      <c r="E32">
        <v>71</v>
      </c>
      <c r="F32">
        <v>-325</v>
      </c>
      <c r="G32">
        <v>0</v>
      </c>
      <c r="H32">
        <v>-250</v>
      </c>
      <c r="I32" t="str" cm="1">
        <f t="array" ref="I32">Aspath(A32:H32)</f>
        <v>M -165 283 C 165 -430 71 -325 0 -250</v>
      </c>
    </row>
  </sheetData>
  <pageMargins left="0.7" right="0.7" top="0.75" bottom="0.75" header="0.3" footer="0.3"/>
  <pageSetup orientation="portrait" horizontalDpi="0" verticalDpi="0"/>
  <ignoredErrors>
    <ignoredError sqref="D1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whole_note_path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Wattenbarger</dc:creator>
  <cp:lastModifiedBy>Richard Wattenbarger</cp:lastModifiedBy>
  <dcterms:created xsi:type="dcterms:W3CDTF">2023-06-06T19:33:40Z</dcterms:created>
  <dcterms:modified xsi:type="dcterms:W3CDTF">2023-06-08T09:20:00Z</dcterms:modified>
</cp:coreProperties>
</file>